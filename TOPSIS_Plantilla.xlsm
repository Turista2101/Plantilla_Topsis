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Info Lenovo\Desktop\"/>
    </mc:Choice>
  </mc:AlternateContent>
  <xr:revisionPtr revIDLastSave="0" documentId="13_ncr:1_{77B99BD7-D051-40E9-9631-04FF7EE3A629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ENTRADA" sheetId="1" r:id="rId1"/>
    <sheet name="AHP" sheetId="10" r:id="rId2"/>
    <sheet name="CÁLCULOS" sheetId="2" r:id="rId3"/>
    <sheet name="RESULTADOS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2" l="1"/>
  <c r="F23" i="2"/>
  <c r="E23" i="2"/>
  <c r="D23" i="2"/>
  <c r="C23" i="2"/>
  <c r="B23" i="2"/>
  <c r="G22" i="2"/>
  <c r="F22" i="2"/>
  <c r="E22" i="2"/>
  <c r="D22" i="2"/>
  <c r="C22" i="2"/>
  <c r="B22" i="2"/>
  <c r="G21" i="2"/>
  <c r="F21" i="2"/>
  <c r="E21" i="2"/>
  <c r="D21" i="2"/>
  <c r="C21" i="2"/>
  <c r="B21" i="2"/>
  <c r="G20" i="2"/>
  <c r="F20" i="2"/>
  <c r="E20" i="2"/>
  <c r="D20" i="2"/>
  <c r="C20" i="2"/>
  <c r="B20" i="2"/>
  <c r="G19" i="2"/>
  <c r="F19" i="2"/>
  <c r="E19" i="2"/>
  <c r="D19" i="2"/>
  <c r="C19" i="2"/>
  <c r="B19" i="2"/>
  <c r="G14" i="2"/>
  <c r="F14" i="2"/>
  <c r="E14" i="2"/>
  <c r="D14" i="2"/>
  <c r="C14" i="2"/>
  <c r="B14" i="2"/>
  <c r="G13" i="2"/>
  <c r="F13" i="2"/>
  <c r="E13" i="2"/>
  <c r="D13" i="2"/>
  <c r="C13" i="2"/>
  <c r="B13" i="2"/>
  <c r="G12" i="2"/>
  <c r="F12" i="2"/>
  <c r="E12" i="2"/>
  <c r="D12" i="2"/>
  <c r="C12" i="2"/>
  <c r="B12" i="2"/>
  <c r="E4" i="3"/>
  <c r="E3" i="3"/>
  <c r="E2" i="3"/>
  <c r="D4" i="3"/>
  <c r="C4" i="3"/>
  <c r="B4" i="3"/>
  <c r="A4" i="3"/>
  <c r="D3" i="3"/>
  <c r="C3" i="3"/>
  <c r="B3" i="3"/>
  <c r="A3" i="3"/>
  <c r="D2" i="3"/>
  <c r="C2" i="3"/>
  <c r="B2" i="3"/>
  <c r="A2" i="3"/>
  <c r="S7" i="2"/>
  <c r="S6" i="2"/>
  <c r="R7" i="2"/>
  <c r="R6" i="2"/>
  <c r="Q7" i="2"/>
  <c r="Q6" i="2"/>
  <c r="P7" i="2"/>
  <c r="P6" i="2"/>
  <c r="O7" i="2"/>
  <c r="O6" i="2"/>
  <c r="N7" i="2"/>
  <c r="N6" i="2"/>
  <c r="S4" i="2"/>
  <c r="M4" i="2"/>
  <c r="G4" i="2"/>
  <c r="R4" i="2"/>
  <c r="L4" i="2"/>
  <c r="F4" i="2"/>
  <c r="Q4" i="2"/>
  <c r="K4" i="2"/>
  <c r="E4" i="2"/>
  <c r="P4" i="2"/>
  <c r="J4" i="2"/>
  <c r="D4" i="2"/>
  <c r="J3" i="2" s="1"/>
  <c r="P3" i="2" s="1"/>
  <c r="O4" i="2"/>
  <c r="I4" i="2"/>
  <c r="C4" i="2"/>
  <c r="N4" i="2"/>
  <c r="H4" i="2"/>
  <c r="B4" i="2"/>
  <c r="H3" i="2" s="1"/>
  <c r="N3" i="2" s="1"/>
  <c r="A4" i="2"/>
  <c r="M3" i="2"/>
  <c r="S3" i="2" s="1"/>
  <c r="G3" i="2"/>
  <c r="L3" i="2"/>
  <c r="R3" i="2" s="1"/>
  <c r="F3" i="2"/>
  <c r="Q3" i="2"/>
  <c r="K3" i="2"/>
  <c r="E3" i="2"/>
  <c r="D3" i="2"/>
  <c r="O3" i="2"/>
  <c r="I3" i="2"/>
  <c r="C3" i="2"/>
  <c r="B3" i="2"/>
  <c r="H2" i="2" s="1"/>
  <c r="N2" i="2" s="1"/>
  <c r="A3" i="2"/>
  <c r="M2" i="2"/>
  <c r="S2" i="2" s="1"/>
  <c r="G2" i="2"/>
  <c r="L2" i="2"/>
  <c r="R2" i="2" s="1"/>
  <c r="F2" i="2"/>
  <c r="K2" i="2"/>
  <c r="Q2" i="2" s="1"/>
  <c r="E2" i="2"/>
  <c r="J2" i="2"/>
  <c r="P2" i="2" s="1"/>
  <c r="D2" i="2"/>
  <c r="I2" i="2"/>
  <c r="O2" i="2" s="1"/>
  <c r="C2" i="2"/>
  <c r="B2" i="2"/>
  <c r="A2" i="2"/>
</calcChain>
</file>

<file path=xl/sharedStrings.xml><?xml version="1.0" encoding="utf-8"?>
<sst xmlns="http://schemas.openxmlformats.org/spreadsheetml/2006/main" count="134" uniqueCount="61">
  <si>
    <t>+</t>
  </si>
  <si>
    <t>Alternativa</t>
  </si>
  <si>
    <t>Pesos</t>
  </si>
  <si>
    <t>Impacto (+/-)</t>
  </si>
  <si>
    <t>Ideal Mejor</t>
  </si>
  <si>
    <t>Ideal Peor</t>
  </si>
  <si>
    <t>Puntuación TOPSIS</t>
  </si>
  <si>
    <t>Rango</t>
  </si>
  <si>
    <t>Distancia al Ideal Mejor</t>
  </si>
  <si>
    <t>Distancia al Ideal Peor</t>
  </si>
  <si>
    <t>Criterio</t>
  </si>
  <si>
    <t>CI:</t>
  </si>
  <si>
    <t>CR:</t>
  </si>
  <si>
    <t>Descripción de Comparaciones AHP</t>
  </si>
  <si>
    <t>Matriz AHP Original (Comparaciones por Pares)</t>
  </si>
  <si>
    <t>Matriz AHP Normalizada</t>
  </si>
  <si>
    <t>Matriz A·W (Producto de la matriz original por el vector de pesos)</t>
  </si>
  <si>
    <t>A·W</t>
  </si>
  <si>
    <t>CÁLCULOS DE CONSISTENCIA AHP</t>
  </si>
  <si>
    <t>Peso W</t>
  </si>
  <si>
    <t>(A·W)/W</t>
  </si>
  <si>
    <t>?max:</t>
  </si>
  <si>
    <t>RI:</t>
  </si>
  <si>
    <t>Normalizados</t>
  </si>
  <si>
    <t>Ponderados</t>
  </si>
  <si>
    <t>Cumplimiento Normativo (%)</t>
  </si>
  <si>
    <t>Calidad del Producto (%)</t>
  </si>
  <si>
    <t>Capacidad (%)</t>
  </si>
  <si>
    <t>Flexibilidad (%)</t>
  </si>
  <si>
    <t>Servicio al Cliente (%)</t>
  </si>
  <si>
    <t>Reputación (%)</t>
  </si>
  <si>
    <t>Cumplimiento Normativo (%) y Reputación (%) tienen igual importancia.</t>
  </si>
  <si>
    <t>Servicio al Cliente (%) y Reputación (%) tienen igual importancia.</t>
  </si>
  <si>
    <t>Valor Normalizado – Calidad del Producto (%)</t>
  </si>
  <si>
    <t>Valor Ponderado – Calidad del Producto (%)</t>
  </si>
  <si>
    <t>Valor Normalizado – Cumplimiento Normativo (%)</t>
  </si>
  <si>
    <t>Valor Ponderado – Cumplimiento Normativo (%)</t>
  </si>
  <si>
    <t>Valor Normalizado – Capacidad (%)</t>
  </si>
  <si>
    <t>Valor Ponderado – Capacidad (%)</t>
  </si>
  <si>
    <t>Valor Normalizado – Flexibilidad (%)</t>
  </si>
  <si>
    <t>Valor Ponderado – Flexibilidad (%)</t>
  </si>
  <si>
    <t>Valor Normalizado – Servicio al Cliente (%)</t>
  </si>
  <si>
    <t>Valor Ponderado – Servicio al Cliente (%)</t>
  </si>
  <si>
    <t>Valor Normalizado – Reputación (%)</t>
  </si>
  <si>
    <t>Valor Ponderado – Reputación (%)</t>
  </si>
  <si>
    <t>Calidad del Producto (%) es más importante que Cumplimiento Normativo (%) (Saaty = 3)</t>
  </si>
  <si>
    <t>Calidad del Producto (%) es más importante que Capacidad (%) (Saaty = 2)</t>
  </si>
  <si>
    <t>Calidad del Producto (%) es más importante que Flexibilidad (%) (Saaty = 3)</t>
  </si>
  <si>
    <t>Calidad del Producto (%) es más importante que Servicio al Cliente (%) (Saaty = 2)</t>
  </si>
  <si>
    <t>Calidad del Producto (%) es más importante que Reputación (%) (Saaty = 3)</t>
  </si>
  <si>
    <t>Capacidad (%) es más importante que Cumplimiento Normativo (%) (Saaty = 2,)</t>
  </si>
  <si>
    <t>Cumplimiento Normativo (%) es más importante que Flexibilidad (%) (Saaty = 2)</t>
  </si>
  <si>
    <t>Servicio al Cliente (%) es más importante que Cumplimiento Normativo (%) (Saaty = 2,)</t>
  </si>
  <si>
    <t>Capacidad (%) es más importante que Flexibilidad (%) (Saaty = 3)</t>
  </si>
  <si>
    <t>Capacidad (%) es más importante que Servicio al Cliente (%) (Saaty = 2)</t>
  </si>
  <si>
    <t>Capacidad (%) es más importante que Reputación (%) (Saaty = 2)</t>
  </si>
  <si>
    <t>Servicio al Cliente (%) es más importante que Flexibilidad (%) (Saaty = 2,)</t>
  </si>
  <si>
    <t>Reputación (%) es más importante que Flexibilidad (%) (Saaty = 2,)</t>
  </si>
  <si>
    <t>San Nicolas</t>
  </si>
  <si>
    <t>Comercializadora Superior</t>
  </si>
  <si>
    <t>Pollo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</si>
</sst>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rgb="FF0082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2F75B5"/>
        <bgColor rgb="FF4472C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" xfId="0" applyBorder="1"/>
    <xf numFmtId="0" fontId="3" fillId="0" borderId="2" xfId="0" applyFont="1" applyBorder="1"/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D1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Ranking de Alternativas TOPSIS (1 = Mejor)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Ranking</c:v>
          </c:tx>
          <c:spPr>
            <a:solidFill>
              <a:srgbClr val="48C9B0"/>
            </a:solidFill>
          </c:spPr>
          <c:invertIfNegative val="0"/>
          <c:cat>
            <c:strRef>
              <c:f>RESULTADOS!$A$2:$A$4</c:f>
              <c:strCache>
                <c:ptCount val="3"/>
                <c:pt idx="0">
                  <c:v>San Nicolas</c:v>
                </c:pt>
                <c:pt idx="1">
                  <c:v>Comercializadora Superior</c:v>
                </c:pt>
                <c:pt idx="2">
                  <c:v>Pollo A</c:v>
                </c:pt>
              </c:strCache>
            </c:strRef>
          </c:cat>
          <c:val>
            <c:numRef>
              <c:f>RESULTADOS!$E$2:$E$4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1-4354-95D3-589E197C3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2189423"/>
        <c:axId val="1052198063"/>
      </c:barChart>
      <c:catAx>
        <c:axId val="10521894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Alternativa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5A5A5A"/>
                </a:solidFill>
              </a:defRPr>
            </a:pPr>
            <a:endParaRPr lang="es-ES"/>
          </a:p>
        </c:txPr>
        <c:crossAx val="1052198063"/>
        <c:crosses val="autoZero"/>
        <c:auto val="1"/>
        <c:lblAlgn val="ctr"/>
        <c:lblOffset val="100"/>
        <c:noMultiLvlLbl val="0"/>
      </c:catAx>
      <c:valAx>
        <c:axId val="1052198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Rango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5A5A5A"/>
                </a:solidFill>
              </a:defRPr>
            </a:pPr>
            <a:endParaRPr lang="es-ES"/>
          </a:p>
        </c:txPr>
        <c:crossAx val="105218942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Puntuación TOPSIS (Cercanía al Ideal)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Score</c:v>
          </c:tx>
          <c:spPr>
            <a:ln w="31750">
              <a:solidFill>
                <a:srgbClr val="F1C40F"/>
              </a:solidFill>
            </a:ln>
          </c:spPr>
          <c:marker>
            <c:symbol val="diamond"/>
            <c:size val="7"/>
            <c:spPr>
              <a:solidFill>
                <a:srgbClr val="F1C40F"/>
              </a:solidFill>
              <a:ln w="31750">
                <a:solidFill>
                  <a:srgbClr val="F1C40F"/>
                </a:solidFill>
                <a:prstDash val="solid"/>
              </a:ln>
            </c:spPr>
          </c:marker>
          <c:cat>
            <c:strRef>
              <c:f>RESULTADOS!$A$2:$A$4</c:f>
              <c:strCache>
                <c:ptCount val="3"/>
                <c:pt idx="0">
                  <c:v>San Nicolas</c:v>
                </c:pt>
                <c:pt idx="1">
                  <c:v>Comercializadora Superior</c:v>
                </c:pt>
                <c:pt idx="2">
                  <c:v>Pollo A</c:v>
                </c:pt>
              </c:strCache>
            </c:strRef>
          </c:cat>
          <c:val>
            <c:numRef>
              <c:f>RESULTADOS!$D$2:$D$4</c:f>
              <c:numCache>
                <c:formatCode>General</c:formatCode>
                <c:ptCount val="3"/>
                <c:pt idx="0">
                  <c:v>1</c:v>
                </c:pt>
                <c:pt idx="1">
                  <c:v>0.35815086106293431</c:v>
                </c:pt>
                <c:pt idx="2">
                  <c:v>0.14933263524934798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2-4573-A4A0-42C6CDDCC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202383"/>
        <c:axId val="1052204303"/>
      </c:lineChart>
      <c:catAx>
        <c:axId val="10522023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Alternativa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5A5A5A"/>
                </a:solidFill>
              </a:defRPr>
            </a:pPr>
            <a:endParaRPr lang="es-ES"/>
          </a:p>
        </c:txPr>
        <c:crossAx val="1052204303"/>
        <c:crosses val="autoZero"/>
        <c:auto val="1"/>
        <c:lblAlgn val="ctr"/>
        <c:lblOffset val="100"/>
        <c:noMultiLvlLbl val="0"/>
      </c:catAx>
      <c:valAx>
        <c:axId val="10522043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5A5A5A"/>
                </a:solidFill>
              </a:defRPr>
            </a:pPr>
            <a:endParaRPr lang="es-ES"/>
          </a:p>
        </c:txPr>
        <c:crossAx val="105220238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Importancia de los Criterios (AHP)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Peso</c:v>
          </c:tx>
          <c:spPr>
            <a:solidFill>
              <a:srgbClr val="3498DB"/>
            </a:solidFill>
          </c:spPr>
          <c:invertIfNegative val="0"/>
          <c:cat>
            <c:strRef>
              <c:f>ENTRADA!$B$1:$G$1</c:f>
              <c:strCache>
                <c:ptCount val="6"/>
                <c:pt idx="0">
                  <c:v>Calidad del Producto (%)</c:v>
                </c:pt>
                <c:pt idx="1">
                  <c:v>Cumplimiento Normativo (%)</c:v>
                </c:pt>
                <c:pt idx="2">
                  <c:v>Capacidad (%)</c:v>
                </c:pt>
                <c:pt idx="3">
                  <c:v>Flexibilidad (%)</c:v>
                </c:pt>
                <c:pt idx="4">
                  <c:v>Servicio al Cliente (%)</c:v>
                </c:pt>
                <c:pt idx="5">
                  <c:v>Reputación (%)</c:v>
                </c:pt>
              </c:strCache>
            </c:strRef>
          </c:cat>
          <c:val>
            <c:numRef>
              <c:f>ENTRADA!$B$5:$G$5</c:f>
              <c:numCache>
                <c:formatCode>General</c:formatCode>
                <c:ptCount val="6"/>
                <c:pt idx="0">
                  <c:v>0.32205699999999998</c:v>
                </c:pt>
                <c:pt idx="1">
                  <c:v>0.110457</c:v>
                </c:pt>
                <c:pt idx="2">
                  <c:v>0.22264500000000001</c:v>
                </c:pt>
                <c:pt idx="3">
                  <c:v>7.3314000000000004E-2</c:v>
                </c:pt>
                <c:pt idx="4">
                  <c:v>0.14916499999999999</c:v>
                </c:pt>
                <c:pt idx="5">
                  <c:v>0.122362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6-45BB-8553-977870CD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2188463"/>
        <c:axId val="1052207183"/>
      </c:barChart>
      <c:catAx>
        <c:axId val="1052188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Criterio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5A5A5A"/>
                </a:solidFill>
              </a:defRPr>
            </a:pPr>
            <a:endParaRPr lang="es-ES"/>
          </a:p>
        </c:txPr>
        <c:crossAx val="1052207183"/>
        <c:crosses val="autoZero"/>
        <c:auto val="1"/>
        <c:lblAlgn val="ctr"/>
        <c:lblOffset val="100"/>
        <c:noMultiLvlLbl val="0"/>
      </c:catAx>
      <c:valAx>
        <c:axId val="10522071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Peso AHP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5A5A5A"/>
                </a:solidFill>
              </a:defRPr>
            </a:pPr>
            <a:endParaRPr lang="es-ES"/>
          </a:p>
        </c:txPr>
        <c:crossAx val="105218846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13</xdr:row>
          <xdr:rowOff>57150</xdr:rowOff>
        </xdr:from>
        <xdr:to>
          <xdr:col>1</xdr:col>
          <xdr:colOff>1333500</xdr:colOff>
          <xdr:row>15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TOPSIS</a:t>
              </a: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</xdr:row>
          <xdr:rowOff>47625</xdr:rowOff>
        </xdr:from>
        <xdr:to>
          <xdr:col>0</xdr:col>
          <xdr:colOff>1390650</xdr:colOff>
          <xdr:row>12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Alternativa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</xdr:row>
          <xdr:rowOff>95250</xdr:rowOff>
        </xdr:from>
        <xdr:to>
          <xdr:col>0</xdr:col>
          <xdr:colOff>1371600</xdr:colOff>
          <xdr:row>9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Criterio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5</xdr:row>
      <xdr:rowOff>0</xdr:rowOff>
    </xdr:from>
    <xdr:to>
      <xdr:col>7</xdr:col>
      <xdr:colOff>174625</xdr:colOff>
      <xdr:row>25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AFB4406-ABF1-C53F-2B5D-AA0CD94058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254000</xdr:colOff>
      <xdr:row>25</xdr:row>
      <xdr:rowOff>156679</xdr:rowOff>
    </xdr:from>
    <xdr:to>
      <xdr:col>7</xdr:col>
      <xdr:colOff>174625</xdr:colOff>
      <xdr:row>45</xdr:row>
      <xdr:rowOff>156679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1D59A19-061F-9F22-B8DA-E1066EC77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46</xdr:row>
      <xdr:rowOff>40032</xdr:rowOff>
    </xdr:from>
    <xdr:to>
      <xdr:col>7</xdr:col>
      <xdr:colOff>174625</xdr:colOff>
      <xdr:row>66</xdr:row>
      <xdr:rowOff>40032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60385911-FBC8-A606-C164-CC1E2147C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6"/>
  <sheetViews>
    <sheetView tabSelected="1" zoomScale="92" workbookViewId="0">
      <selection activeCell="D20" sqref="D20"/>
    </sheetView>
  </sheetViews>
  <sheetFormatPr baseColWidth="10" defaultColWidth="9.140625" defaultRowHeight="15" x14ac:dyDescent="0.25"/>
  <cols>
    <col min="1" max="1" width="27.28515625" customWidth="1"/>
    <col min="2" max="2" width="24.42578125" customWidth="1"/>
    <col min="3" max="3" width="27.7109375" customWidth="1"/>
    <col min="4" max="4" width="16.7109375" customWidth="1"/>
    <col min="5" max="5" width="17.28515625" customWidth="1"/>
    <col min="6" max="6" width="20.28515625" customWidth="1"/>
    <col min="7" max="7" width="18.28515625" customWidth="1"/>
    <col min="8" max="10" width="14.7109375" customWidth="1"/>
  </cols>
  <sheetData>
    <row r="1" spans="1:7" x14ac:dyDescent="0.25">
      <c r="A1" s="3" t="s">
        <v>1</v>
      </c>
      <c r="B1" s="3" t="s">
        <v>26</v>
      </c>
      <c r="C1" s="3" t="s">
        <v>25</v>
      </c>
      <c r="D1" s="3" t="s">
        <v>27</v>
      </c>
      <c r="E1" s="3" t="s">
        <v>28</v>
      </c>
      <c r="F1" s="3" t="s">
        <v>29</v>
      </c>
      <c r="G1" s="3" t="s">
        <v>30</v>
      </c>
    </row>
    <row r="2" spans="1:7" x14ac:dyDescent="0.25">
      <c r="A2" s="6" t="s">
        <v>58</v>
      </c>
      <c r="B2" s="6">
        <v>23</v>
      </c>
      <c r="C2" s="6">
        <v>13</v>
      </c>
      <c r="D2" s="6">
        <v>21</v>
      </c>
      <c r="E2" s="6">
        <v>12</v>
      </c>
      <c r="F2" s="6">
        <v>19</v>
      </c>
      <c r="G2" s="6">
        <v>12</v>
      </c>
    </row>
    <row r="3" spans="1:7" x14ac:dyDescent="0.25">
      <c r="A3" s="6" t="s">
        <v>59</v>
      </c>
      <c r="B3" s="6">
        <v>20</v>
      </c>
      <c r="C3" s="6">
        <v>10</v>
      </c>
      <c r="D3" s="6">
        <v>19</v>
      </c>
      <c r="E3" s="6">
        <v>11</v>
      </c>
      <c r="F3" s="6">
        <v>18</v>
      </c>
      <c r="G3" s="6">
        <v>12</v>
      </c>
    </row>
    <row r="4" spans="1:7" x14ac:dyDescent="0.25">
      <c r="A4" s="6" t="s">
        <v>60</v>
      </c>
      <c r="B4" s="6">
        <v>18</v>
      </c>
      <c r="C4" s="6">
        <v>11</v>
      </c>
      <c r="D4" s="6">
        <v>20</v>
      </c>
      <c r="E4" s="6">
        <v>10</v>
      </c>
      <c r="F4" s="6">
        <v>18</v>
      </c>
      <c r="G4" s="6">
        <v>11</v>
      </c>
    </row>
    <row r="5" spans="1:7" x14ac:dyDescent="0.25">
      <c r="A5" s="7" t="s">
        <v>2</v>
      </c>
      <c r="B5" s="7">
        <v>0.32205699999999998</v>
      </c>
      <c r="C5" s="7">
        <v>0.110457</v>
      </c>
      <c r="D5" s="7">
        <v>0.22264500000000001</v>
      </c>
      <c r="E5" s="7">
        <v>7.3314000000000004E-2</v>
      </c>
      <c r="F5" s="7">
        <v>0.14916499999999999</v>
      </c>
      <c r="G5" s="7">
        <v>0.122362</v>
      </c>
    </row>
    <row r="6" spans="1:7" x14ac:dyDescent="0.25">
      <c r="A6" s="7" t="s">
        <v>3</v>
      </c>
      <c r="B6" s="7" t="s">
        <v>0</v>
      </c>
      <c r="C6" s="7" t="s">
        <v>0</v>
      </c>
      <c r="D6" s="7" t="s">
        <v>0</v>
      </c>
      <c r="E6" s="7" t="s">
        <v>0</v>
      </c>
      <c r="F6" s="7" t="s">
        <v>0</v>
      </c>
      <c r="G6" s="7" t="s">
        <v>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AgregarCriterio">
                <anchor moveWithCells="1">
                  <from>
                    <xdr:col>0</xdr:col>
                    <xdr:colOff>114300</xdr:colOff>
                    <xdr:row>7</xdr:row>
                    <xdr:rowOff>95250</xdr:rowOff>
                  </from>
                  <to>
                    <xdr:col>0</xdr:col>
                    <xdr:colOff>1371600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calcularTOPSIS">
                <anchor moveWithCells="1">
                  <from>
                    <xdr:col>0</xdr:col>
                    <xdr:colOff>76200</xdr:colOff>
                    <xdr:row>13</xdr:row>
                    <xdr:rowOff>57150</xdr:rowOff>
                  </from>
                  <to>
                    <xdr:col>1</xdr:col>
                    <xdr:colOff>1333500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AgregarAlternativa">
                <anchor moveWithCells="1">
                  <from>
                    <xdr:col>0</xdr:col>
                    <xdr:colOff>104775</xdr:colOff>
                    <xdr:row>10</xdr:row>
                    <xdr:rowOff>47625</xdr:rowOff>
                  </from>
                  <to>
                    <xdr:col>0</xdr:col>
                    <xdr:colOff>1390650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A8159-D99B-408B-9E33-D6BBC161AA2F}">
  <sheetPr codeName="Hoja5"/>
  <dimension ref="A1:I43"/>
  <sheetViews>
    <sheetView zoomScale="97" workbookViewId="0">
      <selection activeCell="D19" sqref="D19"/>
    </sheetView>
  </sheetViews>
  <sheetFormatPr baseColWidth="10" defaultRowHeight="15" x14ac:dyDescent="0.25"/>
  <cols>
    <col min="1" max="1" width="36.140625" bestFit="1" customWidth="1"/>
    <col min="2" max="2" width="23.85546875" customWidth="1"/>
    <col min="3" max="3" width="24.85546875" customWidth="1"/>
    <col min="4" max="4" width="18.140625" customWidth="1"/>
    <col min="5" max="5" width="16.85546875" customWidth="1"/>
    <col min="6" max="6" width="19.7109375" customWidth="1"/>
    <col min="7" max="7" width="18.85546875" customWidth="1"/>
    <col min="8" max="8" width="11.140625" customWidth="1"/>
    <col min="9" max="9" width="13.85546875" customWidth="1"/>
    <col min="10" max="10" width="41.5703125" bestFit="1" customWidth="1"/>
    <col min="12" max="12" width="13" customWidth="1"/>
  </cols>
  <sheetData>
    <row r="1" spans="1:9" x14ac:dyDescent="0.25">
      <c r="A1" s="2" t="s">
        <v>14</v>
      </c>
      <c r="I1" s="2" t="s">
        <v>13</v>
      </c>
    </row>
    <row r="2" spans="1:9" x14ac:dyDescent="0.25">
      <c r="A2" s="1"/>
      <c r="B2" s="1" t="s">
        <v>26</v>
      </c>
      <c r="C2" s="1" t="s">
        <v>25</v>
      </c>
      <c r="D2" s="1" t="s">
        <v>27</v>
      </c>
      <c r="E2" s="1" t="s">
        <v>28</v>
      </c>
      <c r="F2" s="1" t="s">
        <v>29</v>
      </c>
      <c r="G2" s="1" t="s">
        <v>30</v>
      </c>
      <c r="I2" t="s">
        <v>45</v>
      </c>
    </row>
    <row r="3" spans="1:9" x14ac:dyDescent="0.25">
      <c r="A3" s="1" t="s">
        <v>26</v>
      </c>
      <c r="B3" s="1">
        <v>1</v>
      </c>
      <c r="C3" s="1">
        <v>3</v>
      </c>
      <c r="D3" s="1">
        <v>2</v>
      </c>
      <c r="E3" s="1">
        <v>3</v>
      </c>
      <c r="F3" s="1">
        <v>2</v>
      </c>
      <c r="G3" s="1">
        <v>3</v>
      </c>
      <c r="I3" t="s">
        <v>46</v>
      </c>
    </row>
    <row r="4" spans="1:9" x14ac:dyDescent="0.25">
      <c r="A4" s="1" t="s">
        <v>25</v>
      </c>
      <c r="B4" s="1">
        <v>0.33329999999999999</v>
      </c>
      <c r="C4" s="1">
        <v>1</v>
      </c>
      <c r="D4" s="1">
        <v>0.5</v>
      </c>
      <c r="E4" s="1">
        <v>2</v>
      </c>
      <c r="F4" s="1">
        <v>0.5</v>
      </c>
      <c r="G4" s="1">
        <v>1</v>
      </c>
      <c r="I4" t="s">
        <v>47</v>
      </c>
    </row>
    <row r="5" spans="1:9" x14ac:dyDescent="0.25">
      <c r="A5" s="1" t="s">
        <v>27</v>
      </c>
      <c r="B5" s="1">
        <v>0.5</v>
      </c>
      <c r="C5" s="1">
        <v>2</v>
      </c>
      <c r="D5" s="1">
        <v>1</v>
      </c>
      <c r="E5" s="1">
        <v>3</v>
      </c>
      <c r="F5" s="1">
        <v>2</v>
      </c>
      <c r="G5" s="1">
        <v>2</v>
      </c>
      <c r="I5" t="s">
        <v>48</v>
      </c>
    </row>
    <row r="6" spans="1:9" x14ac:dyDescent="0.25">
      <c r="A6" s="1" t="s">
        <v>28</v>
      </c>
      <c r="B6" s="1">
        <v>0.33329999999999999</v>
      </c>
      <c r="C6" s="1">
        <v>0.5</v>
      </c>
      <c r="D6" s="1">
        <v>0.33329999999999999</v>
      </c>
      <c r="E6" s="1">
        <v>1</v>
      </c>
      <c r="F6" s="1">
        <v>0.5</v>
      </c>
      <c r="G6" s="1">
        <v>0.5</v>
      </c>
      <c r="I6" t="s">
        <v>49</v>
      </c>
    </row>
    <row r="7" spans="1:9" x14ac:dyDescent="0.25">
      <c r="A7" s="1" t="s">
        <v>29</v>
      </c>
      <c r="B7" s="1">
        <v>0.5</v>
      </c>
      <c r="C7" s="1">
        <v>2</v>
      </c>
      <c r="D7" s="1">
        <v>0.5</v>
      </c>
      <c r="E7" s="1">
        <v>2</v>
      </c>
      <c r="F7" s="1">
        <v>1</v>
      </c>
      <c r="G7" s="1">
        <v>1</v>
      </c>
      <c r="I7" t="s">
        <v>50</v>
      </c>
    </row>
    <row r="8" spans="1:9" x14ac:dyDescent="0.25">
      <c r="A8" s="1" t="s">
        <v>30</v>
      </c>
      <c r="B8" s="1">
        <v>0.33329999999999999</v>
      </c>
      <c r="C8" s="1">
        <v>1</v>
      </c>
      <c r="D8" s="1">
        <v>0.5</v>
      </c>
      <c r="E8" s="1">
        <v>2</v>
      </c>
      <c r="F8" s="1">
        <v>1</v>
      </c>
      <c r="G8" s="1">
        <v>1</v>
      </c>
      <c r="I8" t="s">
        <v>51</v>
      </c>
    </row>
    <row r="9" spans="1:9" x14ac:dyDescent="0.25">
      <c r="I9" t="s">
        <v>52</v>
      </c>
    </row>
    <row r="10" spans="1:9" x14ac:dyDescent="0.25">
      <c r="I10" t="s">
        <v>31</v>
      </c>
    </row>
    <row r="11" spans="1:9" x14ac:dyDescent="0.25">
      <c r="A11" s="2" t="s">
        <v>15</v>
      </c>
      <c r="I11" t="s">
        <v>53</v>
      </c>
    </row>
    <row r="12" spans="1:9" x14ac:dyDescent="0.25">
      <c r="A12" s="1"/>
      <c r="B12" s="1" t="s">
        <v>26</v>
      </c>
      <c r="C12" s="1" t="s">
        <v>25</v>
      </c>
      <c r="D12" s="1" t="s">
        <v>27</v>
      </c>
      <c r="E12" s="1" t="s">
        <v>28</v>
      </c>
      <c r="F12" s="1" t="s">
        <v>29</v>
      </c>
      <c r="G12" s="1" t="s">
        <v>30</v>
      </c>
      <c r="I12" t="s">
        <v>54</v>
      </c>
    </row>
    <row r="13" spans="1:9" x14ac:dyDescent="0.25">
      <c r="A13" s="1" t="s">
        <v>26</v>
      </c>
      <c r="B13" s="1">
        <v>0.33329999999999999</v>
      </c>
      <c r="C13" s="1">
        <v>0.31580000000000003</v>
      </c>
      <c r="D13" s="1">
        <v>0.4138</v>
      </c>
      <c r="E13" s="1">
        <v>0.23080000000000001</v>
      </c>
      <c r="F13" s="1">
        <v>0.28570000000000001</v>
      </c>
      <c r="G13" s="1">
        <v>0.35289999999999999</v>
      </c>
      <c r="I13" t="s">
        <v>55</v>
      </c>
    </row>
    <row r="14" spans="1:9" x14ac:dyDescent="0.25">
      <c r="A14" s="1" t="s">
        <v>25</v>
      </c>
      <c r="B14" s="1">
        <v>0.1111</v>
      </c>
      <c r="C14" s="1">
        <v>0.1053</v>
      </c>
      <c r="D14" s="1">
        <v>0.10340000000000001</v>
      </c>
      <c r="E14" s="1">
        <v>0.15379999999999999</v>
      </c>
      <c r="F14" s="1">
        <v>7.1400000000000005E-2</v>
      </c>
      <c r="G14" s="1">
        <v>0.1176</v>
      </c>
      <c r="I14" t="s">
        <v>56</v>
      </c>
    </row>
    <row r="15" spans="1:9" x14ac:dyDescent="0.25">
      <c r="A15" s="1" t="s">
        <v>27</v>
      </c>
      <c r="B15" s="1">
        <v>0.16669999999999999</v>
      </c>
      <c r="C15" s="1">
        <v>0.21049999999999999</v>
      </c>
      <c r="D15" s="1">
        <v>0.2069</v>
      </c>
      <c r="E15" s="1">
        <v>0.23080000000000001</v>
      </c>
      <c r="F15" s="1">
        <v>0.28570000000000001</v>
      </c>
      <c r="G15" s="1">
        <v>0.23530000000000001</v>
      </c>
      <c r="I15" t="s">
        <v>57</v>
      </c>
    </row>
    <row r="16" spans="1:9" x14ac:dyDescent="0.25">
      <c r="A16" s="1" t="s">
        <v>28</v>
      </c>
      <c r="B16" s="1">
        <v>0.1111</v>
      </c>
      <c r="C16" s="1">
        <v>5.2600000000000001E-2</v>
      </c>
      <c r="D16" s="1">
        <v>6.9000000000000006E-2</v>
      </c>
      <c r="E16" s="1">
        <v>7.6899999999999996E-2</v>
      </c>
      <c r="F16" s="1">
        <v>7.1400000000000005E-2</v>
      </c>
      <c r="G16" s="1">
        <v>5.8799999999999998E-2</v>
      </c>
      <c r="I16" t="s">
        <v>32</v>
      </c>
    </row>
    <row r="17" spans="1:7" x14ac:dyDescent="0.25">
      <c r="A17" s="1" t="s">
        <v>29</v>
      </c>
      <c r="B17" s="1">
        <v>0.16669999999999999</v>
      </c>
      <c r="C17" s="1">
        <v>0.21049999999999999</v>
      </c>
      <c r="D17" s="1">
        <v>0.10340000000000001</v>
      </c>
      <c r="E17" s="1">
        <v>0.15379999999999999</v>
      </c>
      <c r="F17" s="1">
        <v>0.1429</v>
      </c>
      <c r="G17" s="1">
        <v>0.1176</v>
      </c>
    </row>
    <row r="18" spans="1:7" x14ac:dyDescent="0.25">
      <c r="A18" s="1" t="s">
        <v>30</v>
      </c>
      <c r="B18" s="1">
        <v>0.1111</v>
      </c>
      <c r="C18" s="1">
        <v>0.1053</v>
      </c>
      <c r="D18" s="1">
        <v>0.10340000000000001</v>
      </c>
      <c r="E18" s="1">
        <v>0.15379999999999999</v>
      </c>
      <c r="F18" s="1">
        <v>0.1429</v>
      </c>
      <c r="G18" s="1">
        <v>0.1176</v>
      </c>
    </row>
    <row r="21" spans="1:7" x14ac:dyDescent="0.25">
      <c r="A21" s="2" t="s">
        <v>16</v>
      </c>
    </row>
    <row r="22" spans="1:7" x14ac:dyDescent="0.25">
      <c r="A22" s="8" t="s">
        <v>10</v>
      </c>
      <c r="B22" s="8" t="s">
        <v>17</v>
      </c>
    </row>
    <row r="23" spans="1:7" x14ac:dyDescent="0.25">
      <c r="A23" s="8" t="s">
        <v>26</v>
      </c>
      <c r="B23" s="8">
        <v>1.9840770000000001</v>
      </c>
    </row>
    <row r="24" spans="1:7" x14ac:dyDescent="0.25">
      <c r="A24" s="8" t="s">
        <v>25</v>
      </c>
      <c r="B24" s="8">
        <v>0.67270399999999997</v>
      </c>
    </row>
    <row r="25" spans="1:7" x14ac:dyDescent="0.25">
      <c r="A25" s="8" t="s">
        <v>27</v>
      </c>
      <c r="B25" s="8">
        <v>1.3675839999999999</v>
      </c>
    </row>
    <row r="26" spans="1:7" x14ac:dyDescent="0.25">
      <c r="A26" s="8" t="s">
        <v>28</v>
      </c>
      <c r="B26" s="8">
        <v>0.44587300000000002</v>
      </c>
    </row>
    <row r="27" spans="1:7" x14ac:dyDescent="0.25">
      <c r="A27" s="8" t="s">
        <v>29</v>
      </c>
      <c r="B27" s="8">
        <v>0.91142100000000004</v>
      </c>
    </row>
    <row r="28" spans="1:7" x14ac:dyDescent="0.25">
      <c r="A28" s="8" t="s">
        <v>30</v>
      </c>
      <c r="B28" s="8">
        <v>0.74728700000000003</v>
      </c>
    </row>
    <row r="31" spans="1:7" x14ac:dyDescent="0.25">
      <c r="A31" s="2" t="s">
        <v>18</v>
      </c>
    </row>
    <row r="32" spans="1:7" x14ac:dyDescent="0.25">
      <c r="A32" s="8" t="s">
        <v>10</v>
      </c>
      <c r="B32" s="8" t="s">
        <v>17</v>
      </c>
      <c r="C32" s="8" t="s">
        <v>19</v>
      </c>
      <c r="D32" s="8" t="s">
        <v>20</v>
      </c>
    </row>
    <row r="33" spans="1:4" x14ac:dyDescent="0.25">
      <c r="A33" s="8" t="s">
        <v>26</v>
      </c>
      <c r="B33" s="8">
        <v>1.9840770000000001</v>
      </c>
      <c r="C33" s="8">
        <v>0.32205699999999998</v>
      </c>
      <c r="D33" s="8">
        <v>6.1606430000000003</v>
      </c>
    </row>
    <row r="34" spans="1:4" x14ac:dyDescent="0.25">
      <c r="A34" s="8" t="s">
        <v>25</v>
      </c>
      <c r="B34" s="8">
        <v>0.67270399999999997</v>
      </c>
      <c r="C34" s="8">
        <v>0.110457</v>
      </c>
      <c r="D34" s="8">
        <v>6.0901719999999999</v>
      </c>
    </row>
    <row r="35" spans="1:4" x14ac:dyDescent="0.25">
      <c r="A35" s="8" t="s">
        <v>27</v>
      </c>
      <c r="B35" s="8">
        <v>1.3675839999999999</v>
      </c>
      <c r="C35" s="8">
        <v>0.22264500000000001</v>
      </c>
      <c r="D35" s="8">
        <v>6.1424560000000001</v>
      </c>
    </row>
    <row r="36" spans="1:4" x14ac:dyDescent="0.25">
      <c r="A36" s="8" t="s">
        <v>28</v>
      </c>
      <c r="B36" s="8">
        <v>0.44587300000000002</v>
      </c>
      <c r="C36" s="8">
        <v>7.3314000000000004E-2</v>
      </c>
      <c r="D36" s="8">
        <v>6.0817040000000002</v>
      </c>
    </row>
    <row r="37" spans="1:4" x14ac:dyDescent="0.25">
      <c r="A37" s="8" t="s">
        <v>29</v>
      </c>
      <c r="B37" s="8">
        <v>0.91142100000000004</v>
      </c>
      <c r="C37" s="8">
        <v>0.14916499999999999</v>
      </c>
      <c r="D37" s="8">
        <v>6.1101400000000003</v>
      </c>
    </row>
    <row r="38" spans="1:4" x14ac:dyDescent="0.25">
      <c r="A38" s="8" t="s">
        <v>30</v>
      </c>
      <c r="B38" s="8">
        <v>0.74728700000000003</v>
      </c>
      <c r="C38" s="8">
        <v>0.122362</v>
      </c>
      <c r="D38" s="8">
        <v>6.1071749999999998</v>
      </c>
    </row>
    <row r="39" spans="1:4" x14ac:dyDescent="0.25">
      <c r="A39" s="8"/>
      <c r="B39" s="8"/>
      <c r="C39" s="8"/>
      <c r="D39" s="8"/>
    </row>
    <row r="40" spans="1:4" x14ac:dyDescent="0.25">
      <c r="A40" s="8" t="s">
        <v>21</v>
      </c>
      <c r="B40" s="8">
        <v>6.1153820000000003</v>
      </c>
      <c r="C40" s="8"/>
      <c r="D40" s="8"/>
    </row>
    <row r="41" spans="1:4" x14ac:dyDescent="0.25">
      <c r="A41" s="8" t="s">
        <v>11</v>
      </c>
      <c r="B41" s="8">
        <v>2.3075999999999999E-2</v>
      </c>
      <c r="C41" s="8"/>
      <c r="D41" s="8"/>
    </row>
    <row r="42" spans="1:4" x14ac:dyDescent="0.25">
      <c r="A42" s="8" t="s">
        <v>22</v>
      </c>
      <c r="B42" s="8">
        <v>1.24</v>
      </c>
      <c r="C42" s="8"/>
      <c r="D42" s="8"/>
    </row>
    <row r="43" spans="1:4" x14ac:dyDescent="0.25">
      <c r="A43" s="8" t="s">
        <v>12</v>
      </c>
      <c r="B43" s="9">
        <v>1.8610000000000002E-2</v>
      </c>
      <c r="C43" s="8"/>
      <c r="D43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S48"/>
  <sheetViews>
    <sheetView zoomScale="89" workbookViewId="0">
      <selection activeCell="H11" sqref="H11"/>
    </sheetView>
  </sheetViews>
  <sheetFormatPr baseColWidth="10" defaultColWidth="9.140625" defaultRowHeight="15" x14ac:dyDescent="0.25"/>
  <cols>
    <col min="1" max="1" width="25.140625" bestFit="1" customWidth="1"/>
    <col min="2" max="2" width="23" bestFit="1" customWidth="1"/>
    <col min="3" max="3" width="27.42578125" bestFit="1" customWidth="1"/>
    <col min="4" max="5" width="17.5703125" bestFit="1" customWidth="1"/>
    <col min="6" max="6" width="20.42578125" bestFit="1" customWidth="1"/>
    <col min="7" max="7" width="17.5703125" bestFit="1" customWidth="1"/>
    <col min="8" max="8" width="23" bestFit="1" customWidth="1"/>
    <col min="9" max="9" width="27.42578125" bestFit="1" customWidth="1"/>
    <col min="10" max="10" width="17.5703125" bestFit="1" customWidth="1"/>
    <col min="11" max="11" width="19" bestFit="1" customWidth="1"/>
    <col min="12" max="12" width="20.42578125" bestFit="1" customWidth="1"/>
    <col min="13" max="13" width="19" bestFit="1" customWidth="1"/>
    <col min="14" max="14" width="23" bestFit="1" customWidth="1"/>
    <col min="15" max="15" width="27.42578125" bestFit="1" customWidth="1"/>
    <col min="16" max="17" width="17.42578125" bestFit="1" customWidth="1"/>
    <col min="18" max="18" width="20.42578125" bestFit="1" customWidth="1"/>
    <col min="19" max="19" width="17.42578125" bestFit="1" customWidth="1"/>
    <col min="20" max="20" width="29.7109375" bestFit="1" customWidth="1"/>
    <col min="21" max="25" width="20.85546875" bestFit="1" customWidth="1"/>
    <col min="26" max="26" width="15.85546875" bestFit="1" customWidth="1"/>
    <col min="27" max="32" width="14.7109375" bestFit="1" customWidth="1"/>
    <col min="33" max="34" width="15.7109375" bestFit="1" customWidth="1"/>
  </cols>
  <sheetData>
    <row r="1" spans="1:19" s="4" customFormat="1" ht="30" customHeight="1" x14ac:dyDescent="0.25">
      <c r="A1" s="5" t="s">
        <v>1</v>
      </c>
      <c r="B1" s="5" t="s">
        <v>26</v>
      </c>
      <c r="C1" s="5" t="s">
        <v>25</v>
      </c>
      <c r="D1" s="5" t="s">
        <v>27</v>
      </c>
      <c r="E1" s="5" t="s">
        <v>28</v>
      </c>
      <c r="F1" s="5" t="s">
        <v>29</v>
      </c>
      <c r="G1" s="5" t="s">
        <v>30</v>
      </c>
      <c r="H1" s="5" t="s">
        <v>33</v>
      </c>
      <c r="I1" s="5" t="s">
        <v>35</v>
      </c>
      <c r="J1" s="5" t="s">
        <v>37</v>
      </c>
      <c r="K1" s="5" t="s">
        <v>39</v>
      </c>
      <c r="L1" s="5" t="s">
        <v>41</v>
      </c>
      <c r="M1" s="5" t="s">
        <v>43</v>
      </c>
      <c r="N1" s="5" t="s">
        <v>34</v>
      </c>
      <c r="O1" s="5" t="s">
        <v>36</v>
      </c>
      <c r="P1" s="5" t="s">
        <v>38</v>
      </c>
      <c r="Q1" s="5" t="s">
        <v>40</v>
      </c>
      <c r="R1" s="5" t="s">
        <v>42</v>
      </c>
      <c r="S1" s="5" t="s">
        <v>44</v>
      </c>
    </row>
    <row r="2" spans="1:19" x14ac:dyDescent="0.25">
      <c r="A2" s="1" t="str">
        <f>ENTRADA!A2</f>
        <v>San Nicolas</v>
      </c>
      <c r="B2" s="1">
        <f>ENTRADA!B2</f>
        <v>23</v>
      </c>
      <c r="C2" s="1">
        <f>ENTRADA!C2</f>
        <v>13</v>
      </c>
      <c r="D2" s="1">
        <f>ENTRADA!D2</f>
        <v>21</v>
      </c>
      <c r="E2" s="1">
        <f>ENTRADA!E2</f>
        <v>12</v>
      </c>
      <c r="F2" s="1">
        <f>ENTRADA!F2</f>
        <v>19</v>
      </c>
      <c r="G2" s="1">
        <f>ENTRADA!G2</f>
        <v>12</v>
      </c>
      <c r="H2" s="1">
        <f t="shared" ref="H2:M2" si="0">IF(B2="","",B2/SQRT(SUMSQ(B2:B4)))</f>
        <v>0.64975899516335311</v>
      </c>
      <c r="I2" s="1">
        <f t="shared" si="0"/>
        <v>0.65828058860438332</v>
      </c>
      <c r="J2" s="1">
        <f t="shared" si="0"/>
        <v>0.60571323176464908</v>
      </c>
      <c r="K2" s="1">
        <f t="shared" si="0"/>
        <v>0.6281087071082565</v>
      </c>
      <c r="L2" s="1">
        <f t="shared" si="0"/>
        <v>0.59814712251953073</v>
      </c>
      <c r="M2" s="1">
        <f t="shared" si="0"/>
        <v>0.59336181172097846</v>
      </c>
      <c r="N2" s="1">
        <f>IF(H2="","",H2*ENTRADA!B5)</f>
        <v>0.20925943270532399</v>
      </c>
      <c r="O2" s="1">
        <f>IF(I2="","",I2*ENTRADA!C5)</f>
        <v>7.2711698975474373E-2</v>
      </c>
      <c r="P2" s="1">
        <f>IF(J2="","",J2*ENTRADA!D5)</f>
        <v>0.13485902248624029</v>
      </c>
      <c r="Q2" s="1">
        <f>IF(K2="","",K2*ENTRADA!E5)</f>
        <v>4.604916175293472E-2</v>
      </c>
      <c r="R2" s="1">
        <f>IF(L2="","",L2*ENTRADA!F5)</f>
        <v>8.9222615530625798E-2</v>
      </c>
      <c r="S2" s="1">
        <f>IF(M2="","",M2*ENTRADA!G5)</f>
        <v>7.2604938005802366E-2</v>
      </c>
    </row>
    <row r="3" spans="1:19" x14ac:dyDescent="0.25">
      <c r="A3" s="1" t="str">
        <f>ENTRADA!A3</f>
        <v>Comercializadora Superior</v>
      </c>
      <c r="B3" s="1">
        <f>ENTRADA!B3</f>
        <v>20</v>
      </c>
      <c r="C3" s="1">
        <f>ENTRADA!C3</f>
        <v>10</v>
      </c>
      <c r="D3" s="1">
        <f>ENTRADA!D3</f>
        <v>19</v>
      </c>
      <c r="E3" s="1">
        <f>ENTRADA!E3</f>
        <v>11</v>
      </c>
      <c r="F3" s="1">
        <f>ENTRADA!F3</f>
        <v>18</v>
      </c>
      <c r="G3" s="1">
        <f>ENTRADA!G3</f>
        <v>12</v>
      </c>
      <c r="H3" s="1">
        <f t="shared" ref="H3:M3" si="1">IF(B3="","",B3/SQRT(SUMSQ(B2:B4)))</f>
        <v>0.5650078218811766</v>
      </c>
      <c r="I3" s="1">
        <f t="shared" si="1"/>
        <v>0.50636968354183332</v>
      </c>
      <c r="J3" s="1">
        <f t="shared" si="1"/>
        <v>0.54802625731087296</v>
      </c>
      <c r="K3" s="1">
        <f t="shared" si="1"/>
        <v>0.57576631484923513</v>
      </c>
      <c r="L3" s="1">
        <f t="shared" si="1"/>
        <v>0.56666569501850284</v>
      </c>
      <c r="M3" s="1">
        <f t="shared" si="1"/>
        <v>0.59336181172097846</v>
      </c>
      <c r="N3" s="1">
        <f>IF(H3="","",H3*ENTRADA!B5)</f>
        <v>0.18196472409158609</v>
      </c>
      <c r="O3" s="1">
        <f>IF(I3="","",I3*ENTRADA!C5)</f>
        <v>5.5932076134980281E-2</v>
      </c>
      <c r="P3" s="1">
        <f>IF(J3="","",J3*ENTRADA!D5)</f>
        <v>0.12201530605897931</v>
      </c>
      <c r="Q3" s="1">
        <f>IF(K3="","",K3*ENTRADA!E5)</f>
        <v>4.2211731606856824E-2</v>
      </c>
      <c r="R3" s="1">
        <f>IF(L3="","",L3*ENTRADA!F5)</f>
        <v>8.4526688397434976E-2</v>
      </c>
      <c r="S3" s="1">
        <f>IF(M3="","",M3*ENTRADA!G5)</f>
        <v>7.2604938005802366E-2</v>
      </c>
    </row>
    <row r="4" spans="1:19" x14ac:dyDescent="0.25">
      <c r="A4" s="1" t="str">
        <f>ENTRADA!A4</f>
        <v>Pollo A</v>
      </c>
      <c r="B4" s="1">
        <f>ENTRADA!B4</f>
        <v>18</v>
      </c>
      <c r="C4" s="1">
        <f>ENTRADA!C4</f>
        <v>11</v>
      </c>
      <c r="D4" s="1">
        <f>ENTRADA!D4</f>
        <v>20</v>
      </c>
      <c r="E4" s="1">
        <f>ENTRADA!E4</f>
        <v>10</v>
      </c>
      <c r="F4" s="1">
        <f>ENTRADA!F4</f>
        <v>18</v>
      </c>
      <c r="G4" s="1">
        <f>ENTRADA!G4</f>
        <v>11</v>
      </c>
      <c r="H4" s="1">
        <f t="shared" ref="H4:M4" si="2">IF(B4="","",B4/SQRT(SUMSQ(B2:B4)))</f>
        <v>0.50850703969305899</v>
      </c>
      <c r="I4" s="1">
        <f t="shared" si="2"/>
        <v>0.55700665189601672</v>
      </c>
      <c r="J4" s="1">
        <f t="shared" si="2"/>
        <v>0.57686974453776096</v>
      </c>
      <c r="K4" s="1">
        <f t="shared" si="2"/>
        <v>0.52342392259021375</v>
      </c>
      <c r="L4" s="1">
        <f t="shared" si="2"/>
        <v>0.56666569501850284</v>
      </c>
      <c r="M4" s="1">
        <f t="shared" si="2"/>
        <v>0.54391499407756361</v>
      </c>
      <c r="N4" s="1">
        <f>IF(H4="","",H4*ENTRADA!B5)</f>
        <v>0.16376825168242748</v>
      </c>
      <c r="O4" s="1">
        <f>IF(I4="","",I4*ENTRADA!C5)</f>
        <v>6.1525283748478321E-2</v>
      </c>
      <c r="P4" s="1">
        <f>IF(J4="","",J4*ENTRADA!D5)</f>
        <v>0.12843716427260979</v>
      </c>
      <c r="Q4" s="1">
        <f>IF(K4="","",K4*ENTRADA!E5)</f>
        <v>3.8374301460778935E-2</v>
      </c>
      <c r="R4" s="1">
        <f>IF(L4="","",L4*ENTRADA!F5)</f>
        <v>8.4526688397434976E-2</v>
      </c>
      <c r="S4" s="1">
        <f>IF(M4="","",M4*ENTRADA!G5)</f>
        <v>6.6554526505318831E-2</v>
      </c>
    </row>
    <row r="5" spans="1:19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 t="s">
        <v>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>
        <f>IF(ENTRADA!B6="","",IF(ENTRADA!B6="+",MAX(N2:N4),MIN(N2:N4)))</f>
        <v>0.20925943270532399</v>
      </c>
      <c r="O6" s="1">
        <f>IF(ENTRADA!C6="","",IF(ENTRADA!C6="+",MAX(O2:O4),MIN(O2:O4)))</f>
        <v>7.2711698975474373E-2</v>
      </c>
      <c r="P6" s="1">
        <f>IF(ENTRADA!D6="","",IF(ENTRADA!D6="+",MAX(P2:P4),MIN(P2:P4)))</f>
        <v>0.13485902248624029</v>
      </c>
      <c r="Q6" s="1">
        <f>IF(ENTRADA!E6="","",IF(ENTRADA!E6="+",MAX(Q2:Q4),MIN(Q2:Q4)))</f>
        <v>4.604916175293472E-2</v>
      </c>
      <c r="R6" s="1">
        <f>IF(ENTRADA!F6="","",IF(ENTRADA!F6="+",MAX(R2:R4),MIN(R2:R4)))</f>
        <v>8.9222615530625798E-2</v>
      </c>
      <c r="S6" s="1">
        <f>IF(ENTRADA!G6="","",IF(ENTRADA!G6="+",MAX(S2:S4),MIN(S2:S4)))</f>
        <v>7.2604938005802366E-2</v>
      </c>
    </row>
    <row r="7" spans="1:19" x14ac:dyDescent="0.25">
      <c r="A7" s="1" t="s">
        <v>5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>
        <f>IF(ENTRADA!B6="","",IF(ENTRADA!B6="+",MIN(N2:N4),MAX(N2:N4)))</f>
        <v>0.16376825168242748</v>
      </c>
      <c r="O7" s="1">
        <f>IF(ENTRADA!C6="","",IF(ENTRADA!C6="+",MIN(O2:O4),MAX(O2:O4)))</f>
        <v>5.5932076134980281E-2</v>
      </c>
      <c r="P7" s="1">
        <f>IF(ENTRADA!D6="","",IF(ENTRADA!D6="+",MIN(P2:P4),MAX(P2:P4)))</f>
        <v>0.12201530605897931</v>
      </c>
      <c r="Q7" s="1">
        <f>IF(ENTRADA!E6="","",IF(ENTRADA!E6="+",MIN(Q2:Q4),MAX(Q2:Q4)))</f>
        <v>3.8374301460778935E-2</v>
      </c>
      <c r="R7" s="1">
        <f>IF(ENTRADA!F6="","",IF(ENTRADA!F6="+",MIN(R2:R4),MAX(R2:R4)))</f>
        <v>8.4526688397434976E-2</v>
      </c>
      <c r="S7" s="1">
        <f>IF(ENTRADA!G6="","",IF(ENTRADA!G6="+",MIN(S2:S4),MAX(S2:S4)))</f>
        <v>6.6554526505318831E-2</v>
      </c>
    </row>
    <row r="10" spans="1:19" x14ac:dyDescent="0.25">
      <c r="A10" s="10" t="s">
        <v>23</v>
      </c>
      <c r="B10" s="10"/>
      <c r="C10" s="10"/>
      <c r="D10" s="10"/>
      <c r="E10" s="10"/>
      <c r="F10" s="10"/>
      <c r="G10" s="10"/>
    </row>
    <row r="11" spans="1:19" s="4" customFormat="1" ht="35.1" customHeight="1" x14ac:dyDescent="0.25">
      <c r="A11" s="5" t="s">
        <v>1</v>
      </c>
      <c r="B11" s="5" t="s">
        <v>33</v>
      </c>
      <c r="C11" s="5" t="s">
        <v>35</v>
      </c>
      <c r="D11" s="5" t="s">
        <v>37</v>
      </c>
      <c r="E11" s="5" t="s">
        <v>39</v>
      </c>
      <c r="F11" s="5" t="s">
        <v>41</v>
      </c>
      <c r="G11" s="5" t="s">
        <v>43</v>
      </c>
    </row>
    <row r="12" spans="1:19" x14ac:dyDescent="0.25">
      <c r="A12" s="1" t="s">
        <v>58</v>
      </c>
      <c r="B12" s="1">
        <f t="shared" ref="B12:G12" si="3">IF(B2="","",B2/SQRT(SUMSQ(B2:B4)))</f>
        <v>0.64975899516335311</v>
      </c>
      <c r="C12" s="1">
        <f t="shared" si="3"/>
        <v>0.65828058860438332</v>
      </c>
      <c r="D12" s="1">
        <f t="shared" si="3"/>
        <v>0.60571323176464908</v>
      </c>
      <c r="E12" s="1">
        <f t="shared" si="3"/>
        <v>0.6281087071082565</v>
      </c>
      <c r="F12" s="1">
        <f t="shared" si="3"/>
        <v>0.59814712251953073</v>
      </c>
      <c r="G12" s="1">
        <f t="shared" si="3"/>
        <v>0.59336181172097846</v>
      </c>
    </row>
    <row r="13" spans="1:19" x14ac:dyDescent="0.25">
      <c r="A13" s="1" t="s">
        <v>59</v>
      </c>
      <c r="B13" s="1">
        <f t="shared" ref="B13:G13" si="4">IF(B3="","",B3/SQRT(SUMSQ(B2:B4)))</f>
        <v>0.5650078218811766</v>
      </c>
      <c r="C13" s="1">
        <f t="shared" si="4"/>
        <v>0.50636968354183332</v>
      </c>
      <c r="D13" s="1">
        <f t="shared" si="4"/>
        <v>0.54802625731087296</v>
      </c>
      <c r="E13" s="1">
        <f t="shared" si="4"/>
        <v>0.57576631484923513</v>
      </c>
      <c r="F13" s="1">
        <f t="shared" si="4"/>
        <v>0.56666569501850284</v>
      </c>
      <c r="G13" s="1">
        <f t="shared" si="4"/>
        <v>0.59336181172097846</v>
      </c>
    </row>
    <row r="14" spans="1:19" ht="35.1" customHeight="1" x14ac:dyDescent="0.25">
      <c r="A14" s="1" t="s">
        <v>60</v>
      </c>
      <c r="B14" s="1">
        <f t="shared" ref="B14:G14" si="5">IF(B4="","",B4/SQRT(SUMSQ(B2:B4)))</f>
        <v>0.50850703969305899</v>
      </c>
      <c r="C14" s="1">
        <f t="shared" si="5"/>
        <v>0.55700665189601672</v>
      </c>
      <c r="D14" s="1">
        <f t="shared" si="5"/>
        <v>0.57686974453776096</v>
      </c>
      <c r="E14" s="1">
        <f t="shared" si="5"/>
        <v>0.52342392259021375</v>
      </c>
      <c r="F14" s="1">
        <f t="shared" si="5"/>
        <v>0.56666569501850284</v>
      </c>
      <c r="G14" s="1">
        <f t="shared" si="5"/>
        <v>0.54391499407756361</v>
      </c>
    </row>
    <row r="17" spans="1:7" ht="35.1" customHeight="1" x14ac:dyDescent="0.25">
      <c r="A17" s="10" t="s">
        <v>24</v>
      </c>
      <c r="B17" s="10"/>
      <c r="C17" s="10"/>
      <c r="D17" s="10"/>
      <c r="E17" s="10"/>
      <c r="F17" s="10"/>
      <c r="G17" s="10"/>
    </row>
    <row r="18" spans="1:7" s="4" customFormat="1" ht="35.1" customHeight="1" x14ac:dyDescent="0.25">
      <c r="A18" s="5" t="s">
        <v>1</v>
      </c>
      <c r="B18" s="5" t="s">
        <v>34</v>
      </c>
      <c r="C18" s="5" t="s">
        <v>36</v>
      </c>
      <c r="D18" s="5" t="s">
        <v>38</v>
      </c>
      <c r="E18" s="5" t="s">
        <v>40</v>
      </c>
      <c r="F18" s="5" t="s">
        <v>42</v>
      </c>
      <c r="G18" s="5" t="s">
        <v>44</v>
      </c>
    </row>
    <row r="19" spans="1:7" x14ac:dyDescent="0.25">
      <c r="A19" s="1" t="s">
        <v>58</v>
      </c>
      <c r="B19" s="1">
        <f>IF(H2="","",H2*ENTRADA!B5)</f>
        <v>0.20925943270532399</v>
      </c>
      <c r="C19" s="1">
        <f>IF(I2="","",I2*ENTRADA!C5)</f>
        <v>7.2711698975474373E-2</v>
      </c>
      <c r="D19" s="1">
        <f>IF(J2="","",J2*ENTRADA!D5)</f>
        <v>0.13485902248624029</v>
      </c>
      <c r="E19" s="1">
        <f>IF(K2="","",K2*ENTRADA!E5)</f>
        <v>4.604916175293472E-2</v>
      </c>
      <c r="F19" s="1">
        <f>IF(L2="","",L2*ENTRADA!F5)</f>
        <v>8.9222615530625798E-2</v>
      </c>
      <c r="G19" s="1">
        <f>IF(M2="","",M2*ENTRADA!G5)</f>
        <v>7.2604938005802366E-2</v>
      </c>
    </row>
    <row r="20" spans="1:7" x14ac:dyDescent="0.25">
      <c r="A20" s="1" t="s">
        <v>59</v>
      </c>
      <c r="B20" s="1">
        <f>IF(H3="","",H3*ENTRADA!B5)</f>
        <v>0.18196472409158609</v>
      </c>
      <c r="C20" s="1">
        <f>IF(I3="","",I3*ENTRADA!C5)</f>
        <v>5.5932076134980281E-2</v>
      </c>
      <c r="D20" s="1">
        <f>IF(J3="","",J3*ENTRADA!D5)</f>
        <v>0.12201530605897931</v>
      </c>
      <c r="E20" s="1">
        <f>IF(K3="","",K3*ENTRADA!E5)</f>
        <v>4.2211731606856824E-2</v>
      </c>
      <c r="F20" s="1">
        <f>IF(L3="","",L3*ENTRADA!F5)</f>
        <v>8.4526688397434976E-2</v>
      </c>
      <c r="G20" s="1">
        <f>IF(M3="","",M3*ENTRADA!G5)</f>
        <v>7.2604938005802366E-2</v>
      </c>
    </row>
    <row r="21" spans="1:7" ht="35.1" customHeight="1" x14ac:dyDescent="0.25">
      <c r="A21" s="1" t="s">
        <v>60</v>
      </c>
      <c r="B21" s="1">
        <f>IF(H4="","",H4*ENTRADA!B5)</f>
        <v>0.16376825168242748</v>
      </c>
      <c r="C21" s="1">
        <f>IF(I4="","",I4*ENTRADA!C5)</f>
        <v>6.1525283748478321E-2</v>
      </c>
      <c r="D21" s="1">
        <f>IF(J4="","",J4*ENTRADA!D5)</f>
        <v>0.12843716427260979</v>
      </c>
      <c r="E21" s="1">
        <f>IF(K4="","",K4*ENTRADA!E5)</f>
        <v>3.8374301460778935E-2</v>
      </c>
      <c r="F21" s="1">
        <f>IF(L4="","",L4*ENTRADA!F5)</f>
        <v>8.4526688397434976E-2</v>
      </c>
      <c r="G21" s="1">
        <f>IF(M4="","",M4*ENTRADA!G5)</f>
        <v>6.6554526505318831E-2</v>
      </c>
    </row>
    <row r="22" spans="1:7" x14ac:dyDescent="0.25">
      <c r="A22" s="1" t="s">
        <v>4</v>
      </c>
      <c r="B22" s="1">
        <f>IF(ENTRADA!B6="","",IF(ENTRADA!B6="+",MAX(N2:N4),MIN(N2:N4)))</f>
        <v>0.20925943270532399</v>
      </c>
      <c r="C22" s="1">
        <f>IF(ENTRADA!C6="","",IF(ENTRADA!C6="+",MAX(O2:O4),MIN(O2:O4)))</f>
        <v>7.2711698975474373E-2</v>
      </c>
      <c r="D22" s="1">
        <f>IF(ENTRADA!D6="","",IF(ENTRADA!D6="+",MAX(P2:P4),MIN(P2:P4)))</f>
        <v>0.13485902248624029</v>
      </c>
      <c r="E22" s="1">
        <f>IF(ENTRADA!E6="","",IF(ENTRADA!E6="+",MAX(Q2:Q4),MIN(Q2:Q4)))</f>
        <v>4.604916175293472E-2</v>
      </c>
      <c r="F22" s="1">
        <f>IF(ENTRADA!F6="","",IF(ENTRADA!F6="+",MAX(R2:R4),MIN(R2:R4)))</f>
        <v>8.9222615530625798E-2</v>
      </c>
      <c r="G22" s="1">
        <f>IF(ENTRADA!G6="","",IF(ENTRADA!G6="+",MAX(S2:S4),MIN(S2:S4)))</f>
        <v>7.2604938005802366E-2</v>
      </c>
    </row>
    <row r="23" spans="1:7" ht="35.1" customHeight="1" x14ac:dyDescent="0.25">
      <c r="A23" s="1" t="s">
        <v>5</v>
      </c>
      <c r="B23" s="1">
        <f>IF(ENTRADA!B6="","",IF(ENTRADA!B6="+",MIN(N2:N4),MAX(N2:N4)))</f>
        <v>0.16376825168242748</v>
      </c>
      <c r="C23" s="1">
        <f>IF(ENTRADA!C6="","",IF(ENTRADA!C6="+",MIN(O2:O4),MAX(O2:O4)))</f>
        <v>5.5932076134980281E-2</v>
      </c>
      <c r="D23" s="1">
        <f>IF(ENTRADA!D6="","",IF(ENTRADA!D6="+",MIN(P2:P4),MAX(P2:P4)))</f>
        <v>0.12201530605897931</v>
      </c>
      <c r="E23" s="1">
        <f>IF(ENTRADA!E6="","",IF(ENTRADA!E6="+",MIN(Q2:Q4),MAX(Q2:Q4)))</f>
        <v>3.8374301460778935E-2</v>
      </c>
      <c r="F23" s="1">
        <f>IF(ENTRADA!F6="","",IF(ENTRADA!F6="+",MIN(R2:R4),MAX(R2:R4)))</f>
        <v>8.4526688397434976E-2</v>
      </c>
      <c r="G23" s="1">
        <f>IF(ENTRADA!G6="","",IF(ENTRADA!G6="+",MIN(S2:S4),MAX(S2:S4)))</f>
        <v>6.6554526505318831E-2</v>
      </c>
    </row>
    <row r="24" spans="1:7" ht="35.1" customHeight="1" x14ac:dyDescent="0.25"/>
    <row r="26" spans="1:7" ht="35.1" customHeight="1" x14ac:dyDescent="0.25"/>
    <row r="30" spans="1:7" ht="35.1" customHeight="1" x14ac:dyDescent="0.25"/>
    <row r="38" ht="35.1" customHeight="1" x14ac:dyDescent="0.25"/>
    <row r="42" ht="35.1" customHeight="1" x14ac:dyDescent="0.25"/>
    <row r="48" ht="35.1" customHeight="1" x14ac:dyDescent="0.25"/>
  </sheetData>
  <mergeCells count="2">
    <mergeCell ref="A10:G10"/>
    <mergeCell ref="A17:G17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4"/>
  <sheetViews>
    <sheetView zoomScale="92" workbookViewId="0">
      <selection activeCell="G2" sqref="G2"/>
    </sheetView>
  </sheetViews>
  <sheetFormatPr baseColWidth="10" defaultColWidth="9.140625" defaultRowHeight="15" x14ac:dyDescent="0.25"/>
  <cols>
    <col min="1" max="1" width="24.5703125" bestFit="1" customWidth="1"/>
    <col min="2" max="2" width="22" bestFit="1" customWidth="1"/>
    <col min="3" max="3" width="20.5703125" bestFit="1" customWidth="1"/>
    <col min="4" max="4" width="17.7109375" bestFit="1" customWidth="1"/>
    <col min="5" max="5" width="6.42578125" bestFit="1" customWidth="1"/>
    <col min="6" max="7" width="14" customWidth="1"/>
  </cols>
  <sheetData>
    <row r="1" spans="1:5" s="4" customFormat="1" ht="30" customHeight="1" x14ac:dyDescent="0.25">
      <c r="A1" s="5" t="s">
        <v>1</v>
      </c>
      <c r="B1" s="5" t="s">
        <v>8</v>
      </c>
      <c r="C1" s="5" t="s">
        <v>9</v>
      </c>
      <c r="D1" s="5" t="s">
        <v>6</v>
      </c>
      <c r="E1" s="5" t="s">
        <v>7</v>
      </c>
    </row>
    <row r="2" spans="1:5" x14ac:dyDescent="0.25">
      <c r="A2" s="1" t="str">
        <f>ENTRADA!A2</f>
        <v>San Nicolas</v>
      </c>
      <c r="B2" s="1">
        <f>SQRT((CÁLCULOS!N2-CÁLCULOS!N6)^2+(CÁLCULOS!O2-CÁLCULOS!O6)^2+(CÁLCULOS!P2-CÁLCULOS!P6)^2+(CÁLCULOS!Q2-CÁLCULOS!Q6)^2+(CÁLCULOS!R2-CÁLCULOS!R6)^2+(CÁLCULOS!S2-CÁLCULOS!S6)^2)</f>
        <v>0</v>
      </c>
      <c r="C2" s="1">
        <f>SQRT((CÁLCULOS!N2-CÁLCULOS!N7)^2+(CÁLCULOS!O2-CÁLCULOS!O7)^2+(CÁLCULOS!P2-CÁLCULOS!P7)^2+(CÁLCULOS!Q2-CÁLCULOS!Q7)^2+(CÁLCULOS!R2-CÁLCULOS!R7)^2+(CÁLCULOS!S2-CÁLCULOS!S7)^2)</f>
        <v>5.1317901717242834E-2</v>
      </c>
      <c r="D2" s="1">
        <f>IF(B2+C2=0,"",C2/(B2+C2))</f>
        <v>1</v>
      </c>
      <c r="E2" s="1">
        <f>IF(D2="","",RANK(D2,$D$2:$D$4,0))</f>
        <v>1</v>
      </c>
    </row>
    <row r="3" spans="1:5" x14ac:dyDescent="0.25">
      <c r="A3" s="1" t="str">
        <f>ENTRADA!A3</f>
        <v>Comercializadora Superior</v>
      </c>
      <c r="B3" s="1">
        <f>SQRT((CÁLCULOS!N3-CÁLCULOS!N6)^2+(CÁLCULOS!O3-CÁLCULOS!O6)^2+(CÁLCULOS!P3-CÁLCULOS!P6)^2+(CÁLCULOS!Q3-CÁLCULOS!Q6)^2+(CÁLCULOS!R3-CÁLCULOS!R6)^2+(CÁLCULOS!S3-CÁLCULOS!S6)^2)</f>
        <v>3.5047047156761255E-2</v>
      </c>
      <c r="C3" s="1">
        <f>SQRT((CÁLCULOS!N3-CÁLCULOS!N7)^2+(CÁLCULOS!O3-CÁLCULOS!O7)^2+(CÁLCULOS!P3-CÁLCULOS!P7)^2+(CÁLCULOS!Q3-CÁLCULOS!Q7)^2+(CÁLCULOS!R3-CÁLCULOS!R7)^2+(CÁLCULOS!S3-CÁLCULOS!S7)^2)</f>
        <v>1.9556199978228939E-2</v>
      </c>
      <c r="D3" s="1">
        <f>IF(B3+C3=0,"",C3/(B3+C3))</f>
        <v>0.35815086106293431</v>
      </c>
      <c r="E3" s="1">
        <f>IF(D3="","",RANK(D3,$D$2:$D$4,0))</f>
        <v>2</v>
      </c>
    </row>
    <row r="4" spans="1:5" x14ac:dyDescent="0.25">
      <c r="A4" s="1" t="str">
        <f>ENTRADA!A4</f>
        <v>Pollo A</v>
      </c>
      <c r="B4" s="1">
        <f>SQRT((CÁLCULOS!N4-CÁLCULOS!N6)^2+(CÁLCULOS!O4-CÁLCULOS!O6)^2+(CÁLCULOS!P4-CÁLCULOS!P6)^2+(CÁLCULOS!Q4-CÁLCULOS!Q6)^2+(CÁLCULOS!R4-CÁLCULOS!R6)^2+(CÁLCULOS!S4-CÁLCULOS!S6)^2)</f>
        <v>4.85117139552316E-2</v>
      </c>
      <c r="C4" s="1">
        <f>SQRT((CÁLCULOS!N4-CÁLCULOS!N7)^2+(CÁLCULOS!O4-CÁLCULOS!O7)^2+(CÁLCULOS!P4-CÁLCULOS!P7)^2+(CÁLCULOS!Q4-CÁLCULOS!Q7)^2+(CÁLCULOS!R4-CÁLCULOS!R7)^2+(CÁLCULOS!S4-CÁLCULOS!S7)^2)</f>
        <v>8.5161161525466322E-3</v>
      </c>
      <c r="D4" s="1">
        <f>IF(B4+C4=0,"",C4/(B4+C4))</f>
        <v>0.14933263524934798</v>
      </c>
      <c r="E4" s="1">
        <f>IF(D4="","",RANK(D4,$D$2:$D$4,0))</f>
        <v>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ENTRADA</vt:lpstr>
      <vt:lpstr>AHP</vt:lpstr>
      <vt:lpstr>CÁLCULOS</vt:lpstr>
      <vt:lpstr>RESULTADOS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DANIEL STEVAN ORTIZ DORADO</cp:lastModifiedBy>
  <dcterms:created xsi:type="dcterms:W3CDTF">2025-12-08T20:58:26Z</dcterms:created>
  <dcterms:modified xsi:type="dcterms:W3CDTF">2025-12-12T14:43:30Z</dcterms:modified>
</cp:coreProperties>
</file>